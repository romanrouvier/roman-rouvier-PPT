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isl\Documents\Nantes\Cours\Cours alternance\Logistique supply chain\"/>
    </mc:Choice>
  </mc:AlternateContent>
  <xr:revisionPtr revIDLastSave="0" documentId="13_ncr:1_{C3DB2086-B67A-4D8E-A784-FF07D3CB1EC0}" xr6:coauthVersionLast="47" xr6:coauthVersionMax="47" xr10:uidLastSave="{00000000-0000-0000-0000-000000000000}"/>
  <bookViews>
    <workbookView xWindow="-120" yWindow="-120" windowWidth="20730" windowHeight="11040" firstSheet="1" activeTab="1" xr2:uid="{4226EF36-3C07-4CCC-9315-060847FFD09C}"/>
  </bookViews>
  <sheets>
    <sheet name="End-to-End Process Mapping" sheetId="4" r:id="rId1"/>
    <sheet name="Forwarder VSM" sheetId="5" r:id="rId2"/>
    <sheet name="BDM FACTORY" sheetId="7" r:id="rId3"/>
    <sheet name="Business Process Management" sheetId="6" r:id="rId4"/>
    <sheet name="PRODUCTS VALUE" sheetId="3" r:id="rId5"/>
    <sheet name="VENTES PAR ZONE" sheetId="1" r:id="rId6"/>
    <sheet name="VENTES MENSUELLES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2" i="3" l="1"/>
  <c r="C31" i="3"/>
  <c r="C30" i="3"/>
  <c r="C29" i="3"/>
  <c r="C26" i="3"/>
  <c r="C25" i="3"/>
  <c r="C24" i="3"/>
  <c r="C23" i="3"/>
  <c r="C20" i="3"/>
  <c r="C19" i="3"/>
  <c r="C18" i="3"/>
  <c r="C17" i="3"/>
  <c r="C16" i="3"/>
  <c r="C15" i="3"/>
  <c r="C14" i="3"/>
  <c r="C13" i="3"/>
  <c r="C12" i="3"/>
  <c r="C9" i="3"/>
  <c r="C8" i="3"/>
  <c r="C7" i="3"/>
  <c r="C6" i="3"/>
  <c r="N29" i="2"/>
  <c r="N28" i="2"/>
  <c r="N27" i="2"/>
  <c r="N26" i="2"/>
  <c r="N23" i="2"/>
  <c r="N22" i="2"/>
  <c r="N21" i="2"/>
  <c r="N20" i="2"/>
  <c r="N17" i="2"/>
  <c r="N16" i="2"/>
  <c r="N15" i="2"/>
  <c r="N14" i="2"/>
  <c r="N13" i="2"/>
  <c r="N12" i="2"/>
  <c r="N11" i="2"/>
  <c r="N10" i="2"/>
  <c r="N9" i="2"/>
  <c r="N6" i="2"/>
  <c r="N5" i="2"/>
  <c r="N4" i="2"/>
  <c r="N3" i="2"/>
</calcChain>
</file>

<file path=xl/sharedStrings.xml><?xml version="1.0" encoding="utf-8"?>
<sst xmlns="http://schemas.openxmlformats.org/spreadsheetml/2006/main" count="267" uniqueCount="171">
  <si>
    <t>Ville / Région</t>
  </si>
  <si>
    <t>Nombre clients/an</t>
  </si>
  <si>
    <t>Paris / IDF</t>
  </si>
  <si>
    <t>Marseille / Aix</t>
  </si>
  <si>
    <t>Lyon</t>
  </si>
  <si>
    <t>Toulouse</t>
  </si>
  <si>
    <t>Lille</t>
  </si>
  <si>
    <t>Bordeaux</t>
  </si>
  <si>
    <t>Nice / Cannes</t>
  </si>
  <si>
    <t>Nantes</t>
  </si>
  <si>
    <t>Strasbourg</t>
  </si>
  <si>
    <t>Montpellier</t>
  </si>
  <si>
    <t>Rennes</t>
  </si>
  <si>
    <t>Grenoble</t>
  </si>
  <si>
    <t>Rouen / Le Havre</t>
  </si>
  <si>
    <t>Clermont-Ferrand</t>
  </si>
  <si>
    <t>Amiens</t>
  </si>
  <si>
    <t>Nancy</t>
  </si>
  <si>
    <t>Besançon</t>
  </si>
  <si>
    <t>Annecy</t>
  </si>
  <si>
    <t>Total France</t>
  </si>
  <si>
    <t>Anvers</t>
  </si>
  <si>
    <t>La Spezia</t>
  </si>
  <si>
    <t>Ancona</t>
  </si>
  <si>
    <t>Amsterdam</t>
  </si>
  <si>
    <t>Sevilla</t>
  </si>
  <si>
    <t>Cordoba</t>
  </si>
  <si>
    <t>Cartagena</t>
  </si>
  <si>
    <t>Dortmund</t>
  </si>
  <si>
    <t>Lisboa</t>
  </si>
  <si>
    <t>Sines</t>
  </si>
  <si>
    <t>Total Export</t>
  </si>
  <si>
    <t>TOTAL EXPEDITIONS</t>
  </si>
  <si>
    <t>TOTAL 2025</t>
  </si>
  <si>
    <t>Textile</t>
  </si>
  <si>
    <t>Robes</t>
  </si>
  <si>
    <t>Pantalons</t>
  </si>
  <si>
    <t>Hauts</t>
  </si>
  <si>
    <t>Vestes</t>
  </si>
  <si>
    <t>Meubles</t>
  </si>
  <si>
    <t>Table 4 personnes</t>
  </si>
  <si>
    <t>Table 8 personnes</t>
  </si>
  <si>
    <t>Chaises</t>
  </si>
  <si>
    <t>Lits</t>
  </si>
  <si>
    <t>Tables de nuit</t>
  </si>
  <si>
    <t>Décoration murale</t>
  </si>
  <si>
    <t>Lampe Intérieur</t>
  </si>
  <si>
    <t>Lampe Exterieur</t>
  </si>
  <si>
    <t>Salons de Jardin</t>
  </si>
  <si>
    <t>Thés</t>
  </si>
  <si>
    <t>Halmari Tea</t>
  </si>
  <si>
    <t>Jay Shree Tea</t>
  </si>
  <si>
    <t>Rujani Tea</t>
  </si>
  <si>
    <t>Chai Masala</t>
  </si>
  <si>
    <t>Bijoux</t>
  </si>
  <si>
    <t>Boucles d'oreilles</t>
  </si>
  <si>
    <t>Colliers</t>
  </si>
  <si>
    <t>Bracelets</t>
  </si>
  <si>
    <t>Bagues</t>
  </si>
  <si>
    <t>Purchase Cost</t>
  </si>
  <si>
    <t>Selling Price</t>
  </si>
  <si>
    <t>PURCHASE COST AND SELLING PRCE PER UNIT - 2025</t>
  </si>
  <si>
    <t xml:space="preserve">Time </t>
  </si>
  <si>
    <r>
      <t>1.</t>
    </r>
    <r>
      <rPr>
        <sz val="11"/>
        <color rgb="FF000000"/>
        <rFont val="Aptos"/>
        <family val="2"/>
      </rPr>
      <t>Customers orders online via our website</t>
    </r>
  </si>
  <si>
    <t>5 minutes</t>
  </si>
  <si>
    <r>
      <t>2.</t>
    </r>
    <r>
      <rPr>
        <sz val="11"/>
        <color rgb="FF000000"/>
        <rFont val="Aptos"/>
        <family val="2"/>
      </rPr>
      <t>Our supplier receives the order by email.</t>
    </r>
  </si>
  <si>
    <t>1 minute</t>
  </si>
  <si>
    <r>
      <t>3.</t>
    </r>
    <r>
      <rPr>
        <sz val="11"/>
        <color rgb="FF000000"/>
        <rFont val="Aptos"/>
        <family val="2"/>
      </rPr>
      <t>The supplier prepares the order. They pack it and put the Customer’s Address Label.</t>
    </r>
  </si>
  <si>
    <t>2 days</t>
  </si>
  <si>
    <r>
      <t>4.</t>
    </r>
    <r>
      <rPr>
        <sz val="11"/>
        <color rgb="FF000000"/>
        <rFont val="Aptos"/>
        <family val="2"/>
      </rPr>
      <t xml:space="preserve">The supplier contacts a Freight Forwarder or an Integrator (Fedex, UPX, DHL for eg.). They communicate on the dimensions, the weight and the destination of the package. </t>
    </r>
  </si>
  <si>
    <t>1 hour</t>
  </si>
  <si>
    <r>
      <t>5.</t>
    </r>
    <r>
      <rPr>
        <sz val="11"/>
        <color rgb="FF000000"/>
        <rFont val="Aptos"/>
        <family val="2"/>
      </rPr>
      <t>The forwarder/integrator sends their quotation.</t>
    </r>
  </si>
  <si>
    <t>between 3 hours to 2 days</t>
  </si>
  <si>
    <r>
      <t>6.</t>
    </r>
    <r>
      <rPr>
        <sz val="11"/>
        <color rgb="FF000000"/>
        <rFont val="Aptos"/>
        <family val="2"/>
      </rPr>
      <t>The supplier prepares the documents (Packing List and Commercial Invoice)</t>
    </r>
  </si>
  <si>
    <r>
      <t>7.</t>
    </r>
    <r>
      <rPr>
        <sz val="11"/>
        <color rgb="FF000000"/>
        <rFont val="Aptos"/>
        <family val="2"/>
      </rPr>
      <t xml:space="preserve">A trucking company comes for the package and brings it to the airport. </t>
    </r>
  </si>
  <si>
    <t>5 hours</t>
  </si>
  <si>
    <r>
      <t>8.</t>
    </r>
    <r>
      <rPr>
        <sz val="11"/>
        <color rgb="FF000000"/>
        <rFont val="Aptos"/>
        <family val="2"/>
      </rPr>
      <t>A Customs Broker makes the Export Declaration.</t>
    </r>
  </si>
  <si>
    <r>
      <t>9.</t>
    </r>
    <r>
      <rPr>
        <sz val="11"/>
        <color rgb="FF000000"/>
        <rFont val="Aptos"/>
        <family val="2"/>
      </rPr>
      <t>The airport team scans the package and brings it to the airline warehouse.</t>
    </r>
  </si>
  <si>
    <t>4 hours</t>
  </si>
  <si>
    <r>
      <t>10.</t>
    </r>
    <r>
      <rPr>
        <sz val="11"/>
        <color rgb="FF000000"/>
        <rFont val="Aptos"/>
        <family val="2"/>
      </rPr>
      <t>The warehouse agents consolidates all the packages received, trucks them to the plane and load them onboard.</t>
    </r>
  </si>
  <si>
    <t>6 hours</t>
  </si>
  <si>
    <r>
      <t>11.</t>
    </r>
    <r>
      <rPr>
        <sz val="11"/>
        <color rgb="FF000000"/>
        <rFont val="Aptos"/>
        <family val="2"/>
      </rPr>
      <t>The plane flies</t>
    </r>
  </si>
  <si>
    <t>10 hours</t>
  </si>
  <si>
    <r>
      <t>12.</t>
    </r>
    <r>
      <rPr>
        <sz val="11"/>
        <color rgb="FF000000"/>
        <rFont val="Aptos"/>
        <family val="2"/>
      </rPr>
      <t>At the arrival airport, the airport agents discharge the packages, bring them to the airport warehouse and unpack the lot.</t>
    </r>
  </si>
  <si>
    <r>
      <t>13.</t>
    </r>
    <r>
      <rPr>
        <sz val="11"/>
        <color rgb="FF000000"/>
        <rFont val="Aptos"/>
        <family val="2"/>
      </rPr>
      <t>A French Customs Broker makes the import Customs declaration and communicate you the Import Duties.</t>
    </r>
  </si>
  <si>
    <r>
      <t>14.</t>
    </r>
    <r>
      <rPr>
        <sz val="11"/>
        <color rgb="FF000000"/>
        <rFont val="Aptos"/>
        <family val="2"/>
      </rPr>
      <t>You pay the import duties</t>
    </r>
  </si>
  <si>
    <t>3 hours</t>
  </si>
  <si>
    <r>
      <t>15.</t>
    </r>
    <r>
      <rPr>
        <sz val="11"/>
        <color rgb="FF000000"/>
        <rFont val="Aptos"/>
        <family val="2"/>
      </rPr>
      <t>A Trucking company collects the products at the airport and delivers the final Customer</t>
    </r>
  </si>
  <si>
    <t>Between 2 to 8 hours</t>
  </si>
  <si>
    <t>Step</t>
  </si>
  <si>
    <t>Activity</t>
  </si>
  <si>
    <t>Processing Time</t>
  </si>
  <si>
    <t>2 min</t>
  </si>
  <si>
    <t>3 min</t>
  </si>
  <si>
    <t>Review shipment requirements</t>
  </si>
  <si>
    <t>5 min</t>
  </si>
  <si>
    <t>Verify missing information</t>
  </si>
  <si>
    <t>Contact customer for clarification</t>
  </si>
  <si>
    <t>Wait for customer response</t>
  </si>
  <si>
    <t>120 min</t>
  </si>
  <si>
    <t>Determine transport mode</t>
  </si>
  <si>
    <t>Calculate cargo volume/weight</t>
  </si>
  <si>
    <t>4 min</t>
  </si>
  <si>
    <t>Wait for trucking rates</t>
  </si>
  <si>
    <t>60 min</t>
  </si>
  <si>
    <t>Wait for carrier rates</t>
  </si>
  <si>
    <t>Request customs charges</t>
  </si>
  <si>
    <t>Wait for customs broker response</t>
  </si>
  <si>
    <t>30 min</t>
  </si>
  <si>
    <t>Build quotation worksheet</t>
  </si>
  <si>
    <t>10 min</t>
  </si>
  <si>
    <t>Verify margins and profitability</t>
  </si>
  <si>
    <t>Manager approval (if needed)</t>
  </si>
  <si>
    <t>Wait for manager approval</t>
  </si>
  <si>
    <t>Create customer quotation PDF</t>
  </si>
  <si>
    <t>Send quotation to customer</t>
  </si>
  <si>
    <t>Update CRM</t>
  </si>
  <si>
    <t xml:space="preserve">Receive RFQ (Request for Quotation) by email </t>
  </si>
  <si>
    <t xml:space="preserve">Open CRM </t>
  </si>
  <si>
    <t>240 min</t>
  </si>
  <si>
    <t>Search for 3 forwarders for destination charges</t>
  </si>
  <si>
    <t>Send email to those 3 forwarders</t>
  </si>
  <si>
    <t>7 min</t>
  </si>
  <si>
    <t>Wait for their answer</t>
  </si>
  <si>
    <t>Between 1h and 1 day</t>
  </si>
  <si>
    <t>Comparaison of the 3 offers</t>
  </si>
  <si>
    <t>15 min</t>
  </si>
  <si>
    <t>Request trucking rates to 3 trucking companies</t>
  </si>
  <si>
    <t>Request ocean freight rates to 3 shipping lines</t>
  </si>
  <si>
    <t>Comparaison of Transit Time</t>
  </si>
  <si>
    <t>END-TO-END PROCESS MAPPING DROP-SHIPPING</t>
  </si>
  <si>
    <t>estimer ce temps en comparant les offres de Maersk, MSC et COSCO. Faites-le individuellement pour ensuite faire une moyenne de votre temps passé</t>
  </si>
  <si>
    <t>GLOBAL FORWARDER VALUE STREAM MAPPING (ex: DSV-SCHENKER)</t>
  </si>
  <si>
    <t>NATIONAL FORWARDER VALUE STREAM MAPPING (ex: MULTIMODAL INDIA)</t>
  </si>
  <si>
    <t>Check Grid negociated with 3 trucking companies</t>
  </si>
  <si>
    <t>Check Grid negociated with 3 shipping lines</t>
  </si>
  <si>
    <t>between 30 min to 1 day</t>
  </si>
  <si>
    <t>Send email to foreign agency for destination charges</t>
  </si>
  <si>
    <t>estimer ce temps en comparant les grilles de Maersk, MSC et COSCO. Faites-le individuellement pour ensuite faire une moyenne de votre temps passé</t>
  </si>
  <si>
    <t>idem, vérifiez leurs sites internet</t>
  </si>
  <si>
    <t>Sort all related messages to 1 file in Mailbox</t>
  </si>
  <si>
    <t>Process</t>
  </si>
  <si>
    <t>Lead Time</t>
  </si>
  <si>
    <t>Quotation</t>
  </si>
  <si>
    <t>Order &amp; payment</t>
  </si>
  <si>
    <t>3 days</t>
  </si>
  <si>
    <t>Planning</t>
  </si>
  <si>
    <t>0.25 day</t>
  </si>
  <si>
    <t>Procurement</t>
  </si>
  <si>
    <t>10 days</t>
  </si>
  <si>
    <t>Production</t>
  </si>
  <si>
    <t>8 days</t>
  </si>
  <si>
    <t>Quality</t>
  </si>
  <si>
    <t>1 day</t>
  </si>
  <si>
    <t>Packing</t>
  </si>
  <si>
    <t>Export documentation</t>
  </si>
  <si>
    <t>0.5 day</t>
  </si>
  <si>
    <t>Shipment preparation</t>
  </si>
  <si>
    <t>4 days</t>
  </si>
  <si>
    <t>Total before vessel departure</t>
  </si>
  <si>
    <t>≈ 30 days</t>
  </si>
  <si>
    <t>11 min</t>
  </si>
  <si>
    <t>1 jour 5 heures 52 minutes</t>
  </si>
  <si>
    <t>3 jours 4 heures 22 minutes</t>
  </si>
  <si>
    <t>2 jours 5 heures 7 minutes</t>
  </si>
  <si>
    <t>11 h 39 min</t>
  </si>
  <si>
    <t>Somme basse</t>
  </si>
  <si>
    <t>Somme moyenne</t>
  </si>
  <si>
    <t>Somme haute</t>
  </si>
  <si>
    <t>1 jour 10 h 39 min</t>
  </si>
  <si>
    <t>23 h 09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</si>
</sst>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6" formatCode="#,##0\ &quot;€&quot;;[Red]\-#,##0\ &quot;€&quot;"/>
    <numFmt numFmtId="8" formatCode="#,##0.00\ &quot;€&quot;;[Red]\-#,##0.00\ &quot;€&quot;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"/>
      <family val="2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17" fontId="0" fillId="0" borderId="2" xfId="0" applyNumberFormat="1" applyBorder="1"/>
    <xf numFmtId="17" fontId="0" fillId="0" borderId="3" xfId="0" applyNumberFormat="1" applyBorder="1"/>
    <xf numFmtId="17" fontId="0" fillId="0" borderId="4" xfId="0" applyNumberFormat="1" applyBorder="1"/>
    <xf numFmtId="0" fontId="2" fillId="2" borderId="5" xfId="0" applyFont="1" applyFill="1" applyBorder="1"/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16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17" fontId="1" fillId="0" borderId="16" xfId="0" applyNumberFormat="1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2" borderId="5" xfId="0" applyFill="1" applyBorder="1"/>
    <xf numFmtId="6" fontId="0" fillId="0" borderId="9" xfId="0" applyNumberFormat="1" applyBorder="1"/>
    <xf numFmtId="8" fontId="0" fillId="0" borderId="9" xfId="0" applyNumberFormat="1" applyBorder="1"/>
    <xf numFmtId="6" fontId="0" fillId="0" borderId="12" xfId="0" applyNumberFormat="1" applyBorder="1"/>
    <xf numFmtId="6" fontId="0" fillId="0" borderId="16" xfId="0" applyNumberFormat="1" applyBorder="1"/>
    <xf numFmtId="6" fontId="0" fillId="2" borderId="5" xfId="0" applyNumberFormat="1" applyFill="1" applyBorder="1"/>
    <xf numFmtId="8" fontId="0" fillId="0" borderId="12" xfId="0" applyNumberFormat="1" applyBorder="1"/>
    <xf numFmtId="0" fontId="0" fillId="2" borderId="6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 wrapText="1" indent="5" readingOrder="1"/>
    </xf>
    <xf numFmtId="17" fontId="0" fillId="0" borderId="6" xfId="0" applyNumberFormat="1" applyBorder="1"/>
    <xf numFmtId="17" fontId="0" fillId="0" borderId="7" xfId="0" applyNumberFormat="1" applyBorder="1"/>
    <xf numFmtId="1" fontId="0" fillId="0" borderId="10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487B4CC-59E9-4AAC-83BC-8E751D5747C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519F0-4A83-4DC5-BA66-28B49F07BDE0}">
  <dimension ref="A3:B21"/>
  <sheetViews>
    <sheetView topLeftCell="A4" workbookViewId="0">
      <selection activeCell="A4" sqref="A4"/>
    </sheetView>
  </sheetViews>
  <sheetFormatPr baseColWidth="10" defaultRowHeight="15" x14ac:dyDescent="0.25"/>
  <cols>
    <col min="1" max="1" width="69.42578125" customWidth="1"/>
    <col min="2" max="2" width="21.5703125" bestFit="1" customWidth="1"/>
  </cols>
  <sheetData>
    <row r="3" spans="1:2" x14ac:dyDescent="0.25">
      <c r="A3" s="65" t="s">
        <v>130</v>
      </c>
      <c r="B3" s="65"/>
    </row>
    <row r="6" spans="1:2" x14ac:dyDescent="0.25">
      <c r="B6" s="50" t="s">
        <v>62</v>
      </c>
    </row>
    <row r="7" spans="1:2" x14ac:dyDescent="0.25">
      <c r="A7" s="51" t="s">
        <v>63</v>
      </c>
      <c r="B7" s="6" t="s">
        <v>64</v>
      </c>
    </row>
    <row r="8" spans="1:2" x14ac:dyDescent="0.25">
      <c r="A8" s="51" t="s">
        <v>65</v>
      </c>
      <c r="B8" s="6" t="s">
        <v>66</v>
      </c>
    </row>
    <row r="9" spans="1:2" ht="30" x14ac:dyDescent="0.25">
      <c r="A9" s="51" t="s">
        <v>67</v>
      </c>
      <c r="B9" s="6" t="s">
        <v>68</v>
      </c>
    </row>
    <row r="10" spans="1:2" ht="45" x14ac:dyDescent="0.25">
      <c r="A10" s="51" t="s">
        <v>69</v>
      </c>
      <c r="B10" s="6" t="s">
        <v>70</v>
      </c>
    </row>
    <row r="11" spans="1:2" x14ac:dyDescent="0.25">
      <c r="A11" s="51" t="s">
        <v>71</v>
      </c>
      <c r="B11" s="6" t="s">
        <v>72</v>
      </c>
    </row>
    <row r="12" spans="1:2" ht="30" x14ac:dyDescent="0.25">
      <c r="A12" s="51" t="s">
        <v>73</v>
      </c>
      <c r="B12" s="6" t="s">
        <v>70</v>
      </c>
    </row>
    <row r="13" spans="1:2" ht="30" x14ac:dyDescent="0.25">
      <c r="A13" s="51" t="s">
        <v>74</v>
      </c>
      <c r="B13" s="6" t="s">
        <v>75</v>
      </c>
    </row>
    <row r="14" spans="1:2" x14ac:dyDescent="0.25">
      <c r="A14" s="51" t="s">
        <v>76</v>
      </c>
      <c r="B14" s="6" t="s">
        <v>70</v>
      </c>
    </row>
    <row r="15" spans="1:2" ht="30" x14ac:dyDescent="0.25">
      <c r="A15" s="51" t="s">
        <v>77</v>
      </c>
      <c r="B15" s="6" t="s">
        <v>78</v>
      </c>
    </row>
    <row r="16" spans="1:2" ht="30" x14ac:dyDescent="0.25">
      <c r="A16" s="51" t="s">
        <v>79</v>
      </c>
      <c r="B16" s="6" t="s">
        <v>80</v>
      </c>
    </row>
    <row r="17" spans="1:2" x14ac:dyDescent="0.25">
      <c r="A17" s="51" t="s">
        <v>81</v>
      </c>
      <c r="B17" s="6" t="s">
        <v>82</v>
      </c>
    </row>
    <row r="18" spans="1:2" ht="30" x14ac:dyDescent="0.25">
      <c r="A18" s="51" t="s">
        <v>83</v>
      </c>
      <c r="B18" s="6" t="s">
        <v>75</v>
      </c>
    </row>
    <row r="19" spans="1:2" ht="30" x14ac:dyDescent="0.25">
      <c r="A19" s="51" t="s">
        <v>84</v>
      </c>
      <c r="B19" s="6" t="s">
        <v>80</v>
      </c>
    </row>
    <row r="20" spans="1:2" x14ac:dyDescent="0.25">
      <c r="A20" s="51" t="s">
        <v>85</v>
      </c>
      <c r="B20" s="6" t="s">
        <v>86</v>
      </c>
    </row>
    <row r="21" spans="1:2" ht="30" x14ac:dyDescent="0.25">
      <c r="A21" s="51" t="s">
        <v>87</v>
      </c>
      <c r="B21" s="6" t="s">
        <v>88</v>
      </c>
    </row>
  </sheetData>
  <mergeCells count="1"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F1D8D-1077-4BA5-84E6-3C0DC6E42403}">
  <dimension ref="A3:D73"/>
  <sheetViews>
    <sheetView tabSelected="1" topLeftCell="A44" zoomScale="69" workbookViewId="0">
      <selection activeCell="C74" sqref="C74"/>
    </sheetView>
  </sheetViews>
  <sheetFormatPr baseColWidth="10" defaultRowHeight="15" x14ac:dyDescent="0.25"/>
  <cols>
    <col min="1" max="1" width="6.85546875" customWidth="1"/>
    <col min="2" max="2" width="43.28515625" customWidth="1"/>
    <col min="3" max="3" width="21.7109375" customWidth="1"/>
  </cols>
  <sheetData>
    <row r="3" spans="1:3" x14ac:dyDescent="0.25">
      <c r="A3" s="62" t="s">
        <v>132</v>
      </c>
    </row>
    <row r="5" spans="1:3" ht="30" x14ac:dyDescent="0.25">
      <c r="A5" s="58" t="s">
        <v>89</v>
      </c>
      <c r="B5" s="58" t="s">
        <v>90</v>
      </c>
      <c r="C5" s="60" t="s">
        <v>91</v>
      </c>
    </row>
    <row r="6" spans="1:3" x14ac:dyDescent="0.25">
      <c r="A6" s="61">
        <v>1</v>
      </c>
      <c r="B6" s="61" t="s">
        <v>117</v>
      </c>
      <c r="C6" s="59" t="s">
        <v>92</v>
      </c>
    </row>
    <row r="7" spans="1:3" x14ac:dyDescent="0.25">
      <c r="A7" s="61">
        <v>2</v>
      </c>
      <c r="B7" s="61" t="s">
        <v>118</v>
      </c>
      <c r="C7" s="59" t="s">
        <v>93</v>
      </c>
    </row>
    <row r="8" spans="1:3" x14ac:dyDescent="0.25">
      <c r="A8" s="61">
        <v>3</v>
      </c>
      <c r="B8" s="61" t="s">
        <v>94</v>
      </c>
      <c r="C8" s="59" t="s">
        <v>95</v>
      </c>
    </row>
    <row r="9" spans="1:3" x14ac:dyDescent="0.25">
      <c r="A9" s="61">
        <v>4</v>
      </c>
      <c r="B9" s="61" t="s">
        <v>96</v>
      </c>
      <c r="C9" s="59" t="s">
        <v>93</v>
      </c>
    </row>
    <row r="10" spans="1:3" x14ac:dyDescent="0.25">
      <c r="A10" s="61">
        <v>5</v>
      </c>
      <c r="B10" s="61" t="s">
        <v>97</v>
      </c>
      <c r="C10" s="59" t="s">
        <v>95</v>
      </c>
    </row>
    <row r="11" spans="1:3" x14ac:dyDescent="0.25">
      <c r="A11" s="61">
        <v>6</v>
      </c>
      <c r="B11" s="61" t="s">
        <v>98</v>
      </c>
      <c r="C11" s="59" t="s">
        <v>99</v>
      </c>
    </row>
    <row r="12" spans="1:3" x14ac:dyDescent="0.25">
      <c r="A12" s="61">
        <v>7</v>
      </c>
      <c r="B12" s="61" t="s">
        <v>100</v>
      </c>
      <c r="C12" s="59" t="s">
        <v>95</v>
      </c>
    </row>
    <row r="13" spans="1:3" x14ac:dyDescent="0.25">
      <c r="A13" s="61">
        <v>8</v>
      </c>
      <c r="B13" s="61" t="s">
        <v>101</v>
      </c>
      <c r="C13" s="59" t="s">
        <v>102</v>
      </c>
    </row>
    <row r="14" spans="1:3" ht="30" x14ac:dyDescent="0.25">
      <c r="A14" s="61">
        <v>9</v>
      </c>
      <c r="B14" s="61" t="s">
        <v>134</v>
      </c>
      <c r="C14" s="59" t="s">
        <v>122</v>
      </c>
    </row>
    <row r="15" spans="1:3" x14ac:dyDescent="0.25">
      <c r="A15" s="61">
        <v>10</v>
      </c>
      <c r="B15" s="61" t="s">
        <v>125</v>
      </c>
      <c r="C15" s="59" t="s">
        <v>95</v>
      </c>
    </row>
    <row r="16" spans="1:3" x14ac:dyDescent="0.25">
      <c r="A16" s="61">
        <v>11</v>
      </c>
      <c r="B16" s="61" t="s">
        <v>135</v>
      </c>
      <c r="C16" s="59" t="s">
        <v>122</v>
      </c>
    </row>
    <row r="17" spans="1:4" x14ac:dyDescent="0.25">
      <c r="A17" s="61">
        <v>12</v>
      </c>
      <c r="B17" s="61" t="s">
        <v>125</v>
      </c>
      <c r="C17" s="59" t="s">
        <v>102</v>
      </c>
      <c r="D17" t="s">
        <v>138</v>
      </c>
    </row>
    <row r="18" spans="1:4" x14ac:dyDescent="0.25">
      <c r="A18" s="61">
        <v>13</v>
      </c>
      <c r="B18" s="61" t="s">
        <v>129</v>
      </c>
      <c r="C18" s="59" t="s">
        <v>161</v>
      </c>
      <c r="D18" t="s">
        <v>139</v>
      </c>
    </row>
    <row r="19" spans="1:4" x14ac:dyDescent="0.25">
      <c r="A19" s="61">
        <v>14</v>
      </c>
      <c r="B19" s="61" t="s">
        <v>106</v>
      </c>
      <c r="C19" s="59" t="s">
        <v>92</v>
      </c>
    </row>
    <row r="20" spans="1:4" ht="30" x14ac:dyDescent="0.25">
      <c r="A20" s="61">
        <v>15</v>
      </c>
      <c r="B20" s="61" t="s">
        <v>107</v>
      </c>
      <c r="C20" s="59" t="s">
        <v>136</v>
      </c>
    </row>
    <row r="21" spans="1:4" ht="30" x14ac:dyDescent="0.25">
      <c r="A21" s="61">
        <v>16</v>
      </c>
      <c r="B21" s="61" t="s">
        <v>137</v>
      </c>
      <c r="C21" s="59" t="s">
        <v>102</v>
      </c>
    </row>
    <row r="22" spans="1:4" x14ac:dyDescent="0.25">
      <c r="A22" s="61">
        <v>17</v>
      </c>
      <c r="B22" s="61" t="s">
        <v>123</v>
      </c>
      <c r="C22" s="59" t="s">
        <v>124</v>
      </c>
    </row>
    <row r="23" spans="1:4" x14ac:dyDescent="0.25">
      <c r="A23" s="61">
        <v>18</v>
      </c>
      <c r="B23" s="61" t="s">
        <v>109</v>
      </c>
      <c r="C23" s="59" t="s">
        <v>110</v>
      </c>
    </row>
    <row r="24" spans="1:4" x14ac:dyDescent="0.25">
      <c r="A24" s="61">
        <v>19</v>
      </c>
      <c r="B24" s="61" t="s">
        <v>111</v>
      </c>
      <c r="C24" s="59" t="s">
        <v>95</v>
      </c>
    </row>
    <row r="25" spans="1:4" x14ac:dyDescent="0.25">
      <c r="A25" s="61">
        <v>20</v>
      </c>
      <c r="B25" s="63" t="s">
        <v>112</v>
      </c>
      <c r="C25" s="59" t="s">
        <v>110</v>
      </c>
    </row>
    <row r="26" spans="1:4" x14ac:dyDescent="0.25">
      <c r="A26" s="61">
        <v>21</v>
      </c>
      <c r="B26" s="63" t="s">
        <v>113</v>
      </c>
      <c r="C26" s="59" t="s">
        <v>108</v>
      </c>
    </row>
    <row r="27" spans="1:4" x14ac:dyDescent="0.25">
      <c r="A27" s="61">
        <v>22</v>
      </c>
      <c r="B27" s="61" t="s">
        <v>114</v>
      </c>
      <c r="C27" s="59" t="s">
        <v>110</v>
      </c>
    </row>
    <row r="28" spans="1:4" x14ac:dyDescent="0.25">
      <c r="A28" s="61">
        <v>23</v>
      </c>
      <c r="B28" s="61" t="s">
        <v>115</v>
      </c>
      <c r="C28" s="59" t="s">
        <v>92</v>
      </c>
    </row>
    <row r="29" spans="1:4" x14ac:dyDescent="0.25">
      <c r="A29" s="61">
        <v>24</v>
      </c>
      <c r="B29" s="61" t="s">
        <v>116</v>
      </c>
      <c r="C29" s="59" t="s">
        <v>93</v>
      </c>
    </row>
    <row r="30" spans="1:4" x14ac:dyDescent="0.25">
      <c r="A30" s="61">
        <v>25</v>
      </c>
      <c r="B30" s="61" t="s">
        <v>140</v>
      </c>
      <c r="C30" s="59" t="s">
        <v>95</v>
      </c>
    </row>
    <row r="31" spans="1:4" x14ac:dyDescent="0.25">
      <c r="A31" s="61"/>
      <c r="B31" s="61"/>
      <c r="C31" s="59"/>
    </row>
    <row r="32" spans="1:4" ht="30" x14ac:dyDescent="0.25">
      <c r="A32" s="61"/>
      <c r="B32" s="61" t="s">
        <v>166</v>
      </c>
      <c r="C32" s="59" t="s">
        <v>162</v>
      </c>
    </row>
    <row r="33" spans="1:3" ht="30" x14ac:dyDescent="0.25">
      <c r="A33" s="61"/>
      <c r="B33" s="61" t="s">
        <v>167</v>
      </c>
      <c r="C33" s="59" t="s">
        <v>164</v>
      </c>
    </row>
    <row r="34" spans="1:3" x14ac:dyDescent="0.25">
      <c r="B34" s="61" t="s">
        <v>168</v>
      </c>
      <c r="C34" t="s">
        <v>163</v>
      </c>
    </row>
    <row r="35" spans="1:3" x14ac:dyDescent="0.25">
      <c r="B35" s="61"/>
    </row>
    <row r="36" spans="1:3" x14ac:dyDescent="0.25">
      <c r="B36" s="61"/>
    </row>
    <row r="37" spans="1:3" x14ac:dyDescent="0.25">
      <c r="B37" s="61"/>
    </row>
    <row r="39" spans="1:3" x14ac:dyDescent="0.25">
      <c r="A39" s="62" t="s">
        <v>133</v>
      </c>
    </row>
    <row r="41" spans="1:3" ht="30" x14ac:dyDescent="0.25">
      <c r="A41" s="58" t="s">
        <v>89</v>
      </c>
      <c r="B41" s="58" t="s">
        <v>90</v>
      </c>
      <c r="C41" s="60" t="s">
        <v>91</v>
      </c>
    </row>
    <row r="42" spans="1:3" x14ac:dyDescent="0.25">
      <c r="A42" s="61">
        <v>1</v>
      </c>
      <c r="B42" s="61" t="s">
        <v>117</v>
      </c>
      <c r="C42" s="59" t="s">
        <v>92</v>
      </c>
    </row>
    <row r="43" spans="1:3" x14ac:dyDescent="0.25">
      <c r="A43" s="61">
        <v>2</v>
      </c>
      <c r="B43" s="61" t="s">
        <v>94</v>
      </c>
      <c r="C43" s="59" t="s">
        <v>95</v>
      </c>
    </row>
    <row r="44" spans="1:3" x14ac:dyDescent="0.25">
      <c r="A44" s="61">
        <v>3</v>
      </c>
      <c r="B44" s="61" t="s">
        <v>96</v>
      </c>
      <c r="C44" s="59" t="s">
        <v>93</v>
      </c>
    </row>
    <row r="45" spans="1:3" x14ac:dyDescent="0.25">
      <c r="A45" s="61">
        <v>4</v>
      </c>
      <c r="B45" s="61" t="s">
        <v>97</v>
      </c>
      <c r="C45" s="59" t="s">
        <v>95</v>
      </c>
    </row>
    <row r="46" spans="1:3" x14ac:dyDescent="0.25">
      <c r="A46" s="61">
        <v>5</v>
      </c>
      <c r="B46" s="61" t="s">
        <v>98</v>
      </c>
      <c r="C46" s="59" t="s">
        <v>99</v>
      </c>
    </row>
    <row r="47" spans="1:3" x14ac:dyDescent="0.25">
      <c r="A47" s="61">
        <v>6</v>
      </c>
      <c r="B47" s="61" t="s">
        <v>100</v>
      </c>
      <c r="C47" s="59" t="s">
        <v>95</v>
      </c>
    </row>
    <row r="48" spans="1:3" x14ac:dyDescent="0.25">
      <c r="A48" s="61">
        <v>7</v>
      </c>
      <c r="B48" s="61" t="s">
        <v>101</v>
      </c>
      <c r="C48" s="59" t="s">
        <v>102</v>
      </c>
    </row>
    <row r="49" spans="1:4" x14ac:dyDescent="0.25">
      <c r="A49" s="61">
        <v>8</v>
      </c>
      <c r="B49" s="61" t="s">
        <v>127</v>
      </c>
      <c r="C49" s="59" t="s">
        <v>122</v>
      </c>
    </row>
    <row r="50" spans="1:4" x14ac:dyDescent="0.25">
      <c r="A50" s="61">
        <v>9</v>
      </c>
      <c r="B50" s="61" t="s">
        <v>103</v>
      </c>
      <c r="C50" s="59" t="s">
        <v>104</v>
      </c>
    </row>
    <row r="51" spans="1:4" x14ac:dyDescent="0.25">
      <c r="A51" s="61">
        <v>10</v>
      </c>
      <c r="B51" s="61" t="s">
        <v>125</v>
      </c>
      <c r="C51" s="59" t="s">
        <v>95</v>
      </c>
    </row>
    <row r="52" spans="1:4" x14ac:dyDescent="0.25">
      <c r="A52" s="61">
        <v>11</v>
      </c>
      <c r="B52" s="61" t="s">
        <v>128</v>
      </c>
      <c r="C52" s="59" t="s">
        <v>122</v>
      </c>
    </row>
    <row r="53" spans="1:4" x14ac:dyDescent="0.25">
      <c r="A53" s="61">
        <v>12</v>
      </c>
      <c r="B53" s="61" t="s">
        <v>105</v>
      </c>
      <c r="C53" s="59" t="s">
        <v>119</v>
      </c>
    </row>
    <row r="54" spans="1:4" x14ac:dyDescent="0.25">
      <c r="A54" s="61">
        <v>13</v>
      </c>
      <c r="B54" s="61" t="s">
        <v>125</v>
      </c>
      <c r="C54" s="59">
        <v>4</v>
      </c>
      <c r="D54" t="s">
        <v>131</v>
      </c>
    </row>
    <row r="55" spans="1:4" x14ac:dyDescent="0.25">
      <c r="A55" s="61">
        <v>14</v>
      </c>
      <c r="B55" s="61" t="s">
        <v>129</v>
      </c>
      <c r="C55" s="59">
        <v>11</v>
      </c>
      <c r="D55" t="s">
        <v>139</v>
      </c>
    </row>
    <row r="56" spans="1:4" x14ac:dyDescent="0.25">
      <c r="A56" s="61">
        <v>15</v>
      </c>
      <c r="B56" s="61" t="s">
        <v>106</v>
      </c>
      <c r="C56" s="59" t="s">
        <v>92</v>
      </c>
    </row>
    <row r="57" spans="1:4" x14ac:dyDescent="0.25">
      <c r="A57" s="61">
        <v>16</v>
      </c>
      <c r="B57" s="61" t="s">
        <v>107</v>
      </c>
      <c r="C57" s="59" t="s">
        <v>108</v>
      </c>
    </row>
    <row r="58" spans="1:4" x14ac:dyDescent="0.25">
      <c r="A58" s="61">
        <v>17</v>
      </c>
      <c r="B58" s="61" t="s">
        <v>120</v>
      </c>
      <c r="C58" s="59" t="s">
        <v>108</v>
      </c>
    </row>
    <row r="59" spans="1:4" x14ac:dyDescent="0.25">
      <c r="A59" s="61">
        <v>18</v>
      </c>
      <c r="B59" s="61" t="s">
        <v>121</v>
      </c>
      <c r="C59" s="59" t="s">
        <v>122</v>
      </c>
    </row>
    <row r="60" spans="1:4" x14ac:dyDescent="0.25">
      <c r="A60" s="61">
        <v>19</v>
      </c>
      <c r="B60" s="61" t="s">
        <v>123</v>
      </c>
      <c r="C60" s="59" t="s">
        <v>124</v>
      </c>
    </row>
    <row r="61" spans="1:4" x14ac:dyDescent="0.25">
      <c r="A61" s="61">
        <v>20</v>
      </c>
      <c r="B61" s="61" t="s">
        <v>125</v>
      </c>
      <c r="C61" s="59" t="s">
        <v>126</v>
      </c>
    </row>
    <row r="62" spans="1:4" x14ac:dyDescent="0.25">
      <c r="A62" s="61">
        <v>21</v>
      </c>
      <c r="B62" s="61" t="s">
        <v>109</v>
      </c>
      <c r="C62" s="59" t="s">
        <v>110</v>
      </c>
    </row>
    <row r="63" spans="1:4" x14ac:dyDescent="0.25">
      <c r="A63" s="61">
        <v>22</v>
      </c>
      <c r="B63" s="61" t="s">
        <v>111</v>
      </c>
      <c r="C63" s="59" t="s">
        <v>95</v>
      </c>
    </row>
    <row r="64" spans="1:4" x14ac:dyDescent="0.25">
      <c r="A64" s="61">
        <v>23</v>
      </c>
      <c r="B64" s="63" t="s">
        <v>112</v>
      </c>
      <c r="C64" s="59" t="s">
        <v>110</v>
      </c>
    </row>
    <row r="65" spans="1:3" x14ac:dyDescent="0.25">
      <c r="A65" s="61">
        <v>24</v>
      </c>
      <c r="B65" s="63" t="s">
        <v>113</v>
      </c>
      <c r="C65" s="59" t="s">
        <v>108</v>
      </c>
    </row>
    <row r="66" spans="1:3" x14ac:dyDescent="0.25">
      <c r="A66" s="61">
        <v>25</v>
      </c>
      <c r="B66" s="61" t="s">
        <v>114</v>
      </c>
      <c r="C66" s="59" t="s">
        <v>110</v>
      </c>
    </row>
    <row r="67" spans="1:3" x14ac:dyDescent="0.25">
      <c r="A67" s="61">
        <v>26</v>
      </c>
      <c r="B67" s="61" t="s">
        <v>115</v>
      </c>
      <c r="C67" s="59" t="s">
        <v>92</v>
      </c>
    </row>
    <row r="68" spans="1:3" x14ac:dyDescent="0.25">
      <c r="A68" s="61">
        <v>27</v>
      </c>
      <c r="B68" s="61" t="s">
        <v>140</v>
      </c>
      <c r="C68" s="59" t="s">
        <v>95</v>
      </c>
    </row>
    <row r="71" spans="1:3" x14ac:dyDescent="0.25">
      <c r="B71" s="61" t="s">
        <v>166</v>
      </c>
      <c r="C71" s="59" t="s">
        <v>165</v>
      </c>
    </row>
    <row r="72" spans="1:3" x14ac:dyDescent="0.25">
      <c r="B72" s="61" t="s">
        <v>167</v>
      </c>
      <c r="C72" s="59" t="s">
        <v>170</v>
      </c>
    </row>
    <row r="73" spans="1:3" x14ac:dyDescent="0.25">
      <c r="B73" s="61" t="s">
        <v>168</v>
      </c>
      <c r="C73" s="66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E9F27-A200-4523-8788-04D2D4FED374}">
  <dimension ref="A4:B14"/>
  <sheetViews>
    <sheetView workbookViewId="0">
      <selection activeCell="A4" sqref="A4:B14"/>
    </sheetView>
  </sheetViews>
  <sheetFormatPr baseColWidth="10" defaultRowHeight="15" x14ac:dyDescent="0.25"/>
  <cols>
    <col min="1" max="1" width="27.7109375" customWidth="1"/>
  </cols>
  <sheetData>
    <row r="4" spans="1:2" x14ac:dyDescent="0.25">
      <c r="A4" s="58" t="s">
        <v>141</v>
      </c>
      <c r="B4" s="60" t="s">
        <v>142</v>
      </c>
    </row>
    <row r="5" spans="1:2" x14ac:dyDescent="0.25">
      <c r="A5" s="61" t="s">
        <v>143</v>
      </c>
      <c r="B5" s="59" t="s">
        <v>68</v>
      </c>
    </row>
    <row r="6" spans="1:2" x14ac:dyDescent="0.25">
      <c r="A6" s="61" t="s">
        <v>144</v>
      </c>
      <c r="B6" s="59" t="s">
        <v>145</v>
      </c>
    </row>
    <row r="7" spans="1:2" x14ac:dyDescent="0.25">
      <c r="A7" s="61" t="s">
        <v>146</v>
      </c>
      <c r="B7" s="59" t="s">
        <v>147</v>
      </c>
    </row>
    <row r="8" spans="1:2" x14ac:dyDescent="0.25">
      <c r="A8" s="61" t="s">
        <v>148</v>
      </c>
      <c r="B8" s="59" t="s">
        <v>149</v>
      </c>
    </row>
    <row r="9" spans="1:2" x14ac:dyDescent="0.25">
      <c r="A9" s="61" t="s">
        <v>150</v>
      </c>
      <c r="B9" s="59" t="s">
        <v>151</v>
      </c>
    </row>
    <row r="10" spans="1:2" x14ac:dyDescent="0.25">
      <c r="A10" s="61" t="s">
        <v>152</v>
      </c>
      <c r="B10" s="59" t="s">
        <v>153</v>
      </c>
    </row>
    <row r="11" spans="1:2" x14ac:dyDescent="0.25">
      <c r="A11" s="61" t="s">
        <v>154</v>
      </c>
      <c r="B11" s="59" t="s">
        <v>153</v>
      </c>
    </row>
    <row r="12" spans="1:2" x14ac:dyDescent="0.25">
      <c r="A12" s="61" t="s">
        <v>155</v>
      </c>
      <c r="B12" s="59" t="s">
        <v>156</v>
      </c>
    </row>
    <row r="13" spans="1:2" x14ac:dyDescent="0.25">
      <c r="A13" s="61" t="s">
        <v>157</v>
      </c>
      <c r="B13" s="59" t="s">
        <v>158</v>
      </c>
    </row>
    <row r="14" spans="1:2" ht="30" x14ac:dyDescent="0.25">
      <c r="A14" s="64" t="s">
        <v>159</v>
      </c>
      <c r="B14" s="60" t="s">
        <v>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EC0E4-ED5A-4B59-81A7-68A7340D4A05}">
  <dimension ref="A1"/>
  <sheetViews>
    <sheetView workbookViewId="0">
      <selection activeCell="G17" sqref="G17"/>
    </sheetView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C80DA-4BB5-442C-8BD8-0CCD3EBDFFA8}">
  <dimension ref="A1:C32"/>
  <sheetViews>
    <sheetView workbookViewId="0">
      <selection activeCell="F17" sqref="F17"/>
    </sheetView>
  </sheetViews>
  <sheetFormatPr baseColWidth="10" defaultRowHeight="15" x14ac:dyDescent="0.25"/>
  <cols>
    <col min="1" max="1" width="19.140625" customWidth="1"/>
    <col min="2" max="2" width="12.28515625" customWidth="1"/>
    <col min="3" max="3" width="14.140625" customWidth="1"/>
  </cols>
  <sheetData>
    <row r="1" spans="1:3" x14ac:dyDescent="0.25">
      <c r="A1" t="s">
        <v>61</v>
      </c>
    </row>
    <row r="3" spans="1:3" ht="15.75" thickBot="1" x14ac:dyDescent="0.3"/>
    <row r="4" spans="1:3" ht="15.75" thickBot="1" x14ac:dyDescent="0.3">
      <c r="B4" s="26" t="s">
        <v>60</v>
      </c>
      <c r="C4" s="26" t="s">
        <v>59</v>
      </c>
    </row>
    <row r="5" spans="1:3" x14ac:dyDescent="0.25">
      <c r="A5" s="14" t="s">
        <v>34</v>
      </c>
      <c r="B5" s="42"/>
      <c r="C5" s="42"/>
    </row>
    <row r="6" spans="1:3" x14ac:dyDescent="0.25">
      <c r="A6" s="18" t="s">
        <v>35</v>
      </c>
      <c r="B6" s="43">
        <v>129</v>
      </c>
      <c r="C6" s="44">
        <f>+B6/3</f>
        <v>43</v>
      </c>
    </row>
    <row r="7" spans="1:3" x14ac:dyDescent="0.25">
      <c r="A7" s="18" t="s">
        <v>36</v>
      </c>
      <c r="B7" s="43">
        <v>89</v>
      </c>
      <c r="C7" s="44">
        <f t="shared" ref="C7:C9" si="0">+B7/3</f>
        <v>29.666666666666668</v>
      </c>
    </row>
    <row r="8" spans="1:3" x14ac:dyDescent="0.25">
      <c r="A8" s="18" t="s">
        <v>37</v>
      </c>
      <c r="B8" s="43">
        <v>69</v>
      </c>
      <c r="C8" s="44">
        <f t="shared" si="0"/>
        <v>23</v>
      </c>
    </row>
    <row r="9" spans="1:3" ht="15.75" thickBot="1" x14ac:dyDescent="0.3">
      <c r="A9" s="22" t="s">
        <v>38</v>
      </c>
      <c r="B9" s="45">
        <v>149</v>
      </c>
      <c r="C9" s="44">
        <f t="shared" si="0"/>
        <v>49.666666666666664</v>
      </c>
    </row>
    <row r="10" spans="1:3" ht="15.75" thickBot="1" x14ac:dyDescent="0.3">
      <c r="A10" s="18"/>
      <c r="B10" s="46"/>
      <c r="C10" s="46"/>
    </row>
    <row r="11" spans="1:3" x14ac:dyDescent="0.25">
      <c r="A11" s="27" t="s">
        <v>39</v>
      </c>
      <c r="B11" s="47"/>
      <c r="C11" s="47"/>
    </row>
    <row r="12" spans="1:3" x14ac:dyDescent="0.25">
      <c r="A12" s="18" t="s">
        <v>40</v>
      </c>
      <c r="B12" s="43">
        <v>690</v>
      </c>
      <c r="C12" s="44">
        <f>+B12/3</f>
        <v>230</v>
      </c>
    </row>
    <row r="13" spans="1:3" x14ac:dyDescent="0.25">
      <c r="A13" s="18" t="s">
        <v>41</v>
      </c>
      <c r="B13" s="43">
        <v>1290</v>
      </c>
      <c r="C13" s="44">
        <f t="shared" ref="C13:C20" si="1">+B13/3</f>
        <v>430</v>
      </c>
    </row>
    <row r="14" spans="1:3" x14ac:dyDescent="0.25">
      <c r="A14" s="18" t="s">
        <v>42</v>
      </c>
      <c r="B14" s="43">
        <v>129</v>
      </c>
      <c r="C14" s="44">
        <f t="shared" si="1"/>
        <v>43</v>
      </c>
    </row>
    <row r="15" spans="1:3" x14ac:dyDescent="0.25">
      <c r="A15" s="18" t="s">
        <v>43</v>
      </c>
      <c r="B15" s="43">
        <v>1490</v>
      </c>
      <c r="C15" s="44">
        <f t="shared" si="1"/>
        <v>496.66666666666669</v>
      </c>
    </row>
    <row r="16" spans="1:3" x14ac:dyDescent="0.25">
      <c r="A16" s="18" t="s">
        <v>44</v>
      </c>
      <c r="B16" s="43">
        <v>249</v>
      </c>
      <c r="C16" s="44">
        <f t="shared" si="1"/>
        <v>83</v>
      </c>
    </row>
    <row r="17" spans="1:3" x14ac:dyDescent="0.25">
      <c r="A17" s="18" t="s">
        <v>45</v>
      </c>
      <c r="B17" s="43">
        <v>119</v>
      </c>
      <c r="C17" s="44">
        <f t="shared" si="1"/>
        <v>39.666666666666664</v>
      </c>
    </row>
    <row r="18" spans="1:3" x14ac:dyDescent="0.25">
      <c r="A18" s="18" t="s">
        <v>46</v>
      </c>
      <c r="B18" s="43">
        <v>149</v>
      </c>
      <c r="C18" s="44">
        <f t="shared" si="1"/>
        <v>49.666666666666664</v>
      </c>
    </row>
    <row r="19" spans="1:3" x14ac:dyDescent="0.25">
      <c r="A19" s="18" t="s">
        <v>47</v>
      </c>
      <c r="B19" s="43">
        <v>189</v>
      </c>
      <c r="C19" s="44">
        <f t="shared" si="1"/>
        <v>63</v>
      </c>
    </row>
    <row r="20" spans="1:3" ht="15.75" thickBot="1" x14ac:dyDescent="0.3">
      <c r="A20" s="22" t="s">
        <v>48</v>
      </c>
      <c r="B20" s="45">
        <v>2490</v>
      </c>
      <c r="C20" s="44">
        <f t="shared" si="1"/>
        <v>830</v>
      </c>
    </row>
    <row r="21" spans="1:3" ht="15.75" thickBot="1" x14ac:dyDescent="0.3">
      <c r="A21" s="31"/>
      <c r="B21" s="46"/>
      <c r="C21" s="46"/>
    </row>
    <row r="22" spans="1:3" x14ac:dyDescent="0.25">
      <c r="A22" s="27" t="s">
        <v>49</v>
      </c>
      <c r="B22" s="47"/>
      <c r="C22" s="47"/>
    </row>
    <row r="23" spans="1:3" x14ac:dyDescent="0.25">
      <c r="A23" s="18" t="s">
        <v>50</v>
      </c>
      <c r="B23" s="43">
        <v>17</v>
      </c>
      <c r="C23" s="44">
        <f t="shared" ref="C23:C26" si="2">+B23/3</f>
        <v>5.666666666666667</v>
      </c>
    </row>
    <row r="24" spans="1:3" x14ac:dyDescent="0.25">
      <c r="A24" s="18" t="s">
        <v>51</v>
      </c>
      <c r="B24" s="43">
        <v>15</v>
      </c>
      <c r="C24" s="44">
        <f t="shared" si="2"/>
        <v>5</v>
      </c>
    </row>
    <row r="25" spans="1:3" x14ac:dyDescent="0.25">
      <c r="A25" s="18" t="s">
        <v>52</v>
      </c>
      <c r="B25" s="43">
        <v>19</v>
      </c>
      <c r="C25" s="44">
        <f t="shared" si="2"/>
        <v>6.333333333333333</v>
      </c>
    </row>
    <row r="26" spans="1:3" ht="15.75" thickBot="1" x14ac:dyDescent="0.3">
      <c r="A26" s="22" t="s">
        <v>53</v>
      </c>
      <c r="B26" s="45">
        <v>13</v>
      </c>
      <c r="C26" s="44">
        <f t="shared" si="2"/>
        <v>4.333333333333333</v>
      </c>
    </row>
    <row r="27" spans="1:3" ht="15.75" thickBot="1" x14ac:dyDescent="0.3">
      <c r="A27" s="31"/>
      <c r="B27" s="46"/>
      <c r="C27" s="46"/>
    </row>
    <row r="28" spans="1:3" x14ac:dyDescent="0.25">
      <c r="A28" s="27" t="s">
        <v>54</v>
      </c>
      <c r="B28" s="47"/>
      <c r="C28" s="47"/>
    </row>
    <row r="29" spans="1:3" x14ac:dyDescent="0.25">
      <c r="A29" s="18" t="s">
        <v>55</v>
      </c>
      <c r="B29" s="43">
        <v>69</v>
      </c>
      <c r="C29" s="44">
        <f>+B29/5</f>
        <v>13.8</v>
      </c>
    </row>
    <row r="30" spans="1:3" x14ac:dyDescent="0.25">
      <c r="A30" s="18" t="s">
        <v>56</v>
      </c>
      <c r="B30" s="43">
        <v>119</v>
      </c>
      <c r="C30" s="44">
        <f t="shared" ref="C30:C32" si="3">+B30/5</f>
        <v>23.8</v>
      </c>
    </row>
    <row r="31" spans="1:3" x14ac:dyDescent="0.25">
      <c r="A31" s="18" t="s">
        <v>57</v>
      </c>
      <c r="B31" s="43">
        <v>79</v>
      </c>
      <c r="C31" s="44">
        <f t="shared" si="3"/>
        <v>15.8</v>
      </c>
    </row>
    <row r="32" spans="1:3" ht="15.75" thickBot="1" x14ac:dyDescent="0.3">
      <c r="A32" s="22" t="s">
        <v>58</v>
      </c>
      <c r="B32" s="45">
        <v>89</v>
      </c>
      <c r="C32" s="48">
        <f t="shared" si="3"/>
        <v>17.8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64384-77D1-4E9A-BA4B-09A6BFDC9A9C}">
  <dimension ref="A1:B35"/>
  <sheetViews>
    <sheetView workbookViewId="0">
      <selection activeCell="D18" sqref="D18"/>
    </sheetView>
  </sheetViews>
  <sheetFormatPr baseColWidth="10" defaultRowHeight="15" x14ac:dyDescent="0.25"/>
  <cols>
    <col min="1" max="1" width="24.28515625" customWidth="1"/>
    <col min="2" max="2" width="17.7109375" customWidth="1"/>
  </cols>
  <sheetData>
    <row r="1" spans="1:2" ht="30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670</v>
      </c>
    </row>
    <row r="3" spans="1:2" x14ac:dyDescent="0.25">
      <c r="A3" s="2" t="s">
        <v>3</v>
      </c>
      <c r="B3" s="3">
        <v>190</v>
      </c>
    </row>
    <row r="4" spans="1:2" x14ac:dyDescent="0.25">
      <c r="A4" s="2" t="s">
        <v>4</v>
      </c>
      <c r="B4" s="3">
        <v>170</v>
      </c>
    </row>
    <row r="5" spans="1:2" x14ac:dyDescent="0.25">
      <c r="A5" s="2" t="s">
        <v>5</v>
      </c>
      <c r="B5" s="3">
        <v>125</v>
      </c>
    </row>
    <row r="6" spans="1:2" x14ac:dyDescent="0.25">
      <c r="A6" s="2" t="s">
        <v>6</v>
      </c>
      <c r="B6" s="3">
        <v>105</v>
      </c>
    </row>
    <row r="7" spans="1:2" x14ac:dyDescent="0.25">
      <c r="A7" s="2" t="s">
        <v>7</v>
      </c>
      <c r="B7" s="3">
        <v>105</v>
      </c>
    </row>
    <row r="8" spans="1:2" x14ac:dyDescent="0.25">
      <c r="A8" s="2" t="s">
        <v>8</v>
      </c>
      <c r="B8" s="3">
        <v>85</v>
      </c>
    </row>
    <row r="9" spans="1:2" x14ac:dyDescent="0.25">
      <c r="A9" s="2" t="s">
        <v>9</v>
      </c>
      <c r="B9" s="3">
        <v>85</v>
      </c>
    </row>
    <row r="10" spans="1:2" x14ac:dyDescent="0.25">
      <c r="A10" s="2" t="s">
        <v>10</v>
      </c>
      <c r="B10" s="3">
        <v>65</v>
      </c>
    </row>
    <row r="11" spans="1:2" x14ac:dyDescent="0.25">
      <c r="A11" s="2" t="s">
        <v>11</v>
      </c>
      <c r="B11" s="3">
        <v>65</v>
      </c>
    </row>
    <row r="12" spans="1:2" x14ac:dyDescent="0.25">
      <c r="A12" s="2" t="s">
        <v>12</v>
      </c>
      <c r="B12" s="3">
        <v>40</v>
      </c>
    </row>
    <row r="13" spans="1:2" x14ac:dyDescent="0.25">
      <c r="A13" s="2" t="s">
        <v>13</v>
      </c>
      <c r="B13" s="3">
        <v>40</v>
      </c>
    </row>
    <row r="14" spans="1:2" x14ac:dyDescent="0.25">
      <c r="A14" s="2" t="s">
        <v>14</v>
      </c>
      <c r="B14" s="3">
        <v>40</v>
      </c>
    </row>
    <row r="15" spans="1:2" x14ac:dyDescent="0.25">
      <c r="A15" s="2" t="s">
        <v>15</v>
      </c>
      <c r="B15" s="3">
        <v>30</v>
      </c>
    </row>
    <row r="16" spans="1:2" x14ac:dyDescent="0.25">
      <c r="A16" s="2" t="s">
        <v>16</v>
      </c>
      <c r="B16" s="3">
        <v>40</v>
      </c>
    </row>
    <row r="17" spans="1:2" x14ac:dyDescent="0.25">
      <c r="A17" s="2" t="s">
        <v>17</v>
      </c>
      <c r="B17" s="3">
        <v>30</v>
      </c>
    </row>
    <row r="18" spans="1:2" x14ac:dyDescent="0.25">
      <c r="A18" s="2" t="s">
        <v>18</v>
      </c>
      <c r="B18" s="3">
        <v>20</v>
      </c>
    </row>
    <row r="19" spans="1:2" x14ac:dyDescent="0.25">
      <c r="A19" s="2" t="s">
        <v>19</v>
      </c>
      <c r="B19" s="3">
        <v>20</v>
      </c>
    </row>
    <row r="20" spans="1:2" x14ac:dyDescent="0.25">
      <c r="A20" s="4" t="s">
        <v>20</v>
      </c>
      <c r="B20" s="5">
        <v>1925</v>
      </c>
    </row>
    <row r="21" spans="1:2" x14ac:dyDescent="0.25">
      <c r="A21" s="6" t="s">
        <v>21</v>
      </c>
      <c r="B21" s="7">
        <v>300</v>
      </c>
    </row>
    <row r="22" spans="1:2" x14ac:dyDescent="0.25">
      <c r="A22" s="6" t="s">
        <v>22</v>
      </c>
      <c r="B22" s="7">
        <v>100</v>
      </c>
    </row>
    <row r="23" spans="1:2" x14ac:dyDescent="0.25">
      <c r="A23" s="6" t="s">
        <v>23</v>
      </c>
      <c r="B23" s="7">
        <v>75</v>
      </c>
    </row>
    <row r="24" spans="1:2" x14ac:dyDescent="0.25">
      <c r="A24" s="6" t="s">
        <v>24</v>
      </c>
      <c r="B24" s="7">
        <v>150</v>
      </c>
    </row>
    <row r="25" spans="1:2" x14ac:dyDescent="0.25">
      <c r="A25" s="6" t="s">
        <v>25</v>
      </c>
      <c r="B25" s="7">
        <v>50</v>
      </c>
    </row>
    <row r="26" spans="1:2" x14ac:dyDescent="0.25">
      <c r="A26" s="6" t="s">
        <v>26</v>
      </c>
      <c r="B26" s="7">
        <v>50</v>
      </c>
    </row>
    <row r="27" spans="1:2" x14ac:dyDescent="0.25">
      <c r="A27" s="6" t="s">
        <v>27</v>
      </c>
      <c r="B27" s="7">
        <v>50</v>
      </c>
    </row>
    <row r="28" spans="1:2" x14ac:dyDescent="0.25">
      <c r="A28" s="6" t="s">
        <v>28</v>
      </c>
      <c r="B28" s="7">
        <v>150</v>
      </c>
    </row>
    <row r="29" spans="1:2" x14ac:dyDescent="0.25">
      <c r="A29" s="6" t="s">
        <v>29</v>
      </c>
      <c r="B29" s="7">
        <v>75</v>
      </c>
    </row>
    <row r="30" spans="1:2" x14ac:dyDescent="0.25">
      <c r="A30" s="6" t="s">
        <v>30</v>
      </c>
      <c r="B30" s="7">
        <v>75</v>
      </c>
    </row>
    <row r="31" spans="1:2" x14ac:dyDescent="0.25">
      <c r="A31" s="8" t="s">
        <v>31</v>
      </c>
      <c r="B31" s="5">
        <v>1075</v>
      </c>
    </row>
    <row r="32" spans="1:2" x14ac:dyDescent="0.25">
      <c r="A32" s="9" t="s">
        <v>32</v>
      </c>
      <c r="B32" s="10">
        <v>3000</v>
      </c>
    </row>
    <row r="35" ht="13.15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9ED9F-AAD2-4E77-961F-3306CD6074E5}">
  <dimension ref="A1:T29"/>
  <sheetViews>
    <sheetView topLeftCell="G1" workbookViewId="0">
      <selection activeCell="U12" sqref="U12"/>
    </sheetView>
  </sheetViews>
  <sheetFormatPr baseColWidth="10" defaultRowHeight="15" x14ac:dyDescent="0.25"/>
  <cols>
    <col min="1" max="1" width="15.85546875" bestFit="1" customWidth="1"/>
  </cols>
  <sheetData>
    <row r="1" spans="1:20" ht="15.75" thickBot="1" x14ac:dyDescent="0.3">
      <c r="B1" s="11">
        <v>45658</v>
      </c>
      <c r="C1" s="12">
        <v>45689</v>
      </c>
      <c r="D1" s="12">
        <v>45717</v>
      </c>
      <c r="E1" s="12">
        <v>45748</v>
      </c>
      <c r="F1" s="12">
        <v>45778</v>
      </c>
      <c r="G1" s="12">
        <v>45809</v>
      </c>
      <c r="H1" s="12">
        <v>45839</v>
      </c>
      <c r="I1" s="12">
        <v>45870</v>
      </c>
      <c r="J1" s="12">
        <v>45901</v>
      </c>
      <c r="K1" s="12">
        <v>45931</v>
      </c>
      <c r="L1" s="12">
        <v>45962</v>
      </c>
      <c r="M1" s="13">
        <v>45992</v>
      </c>
      <c r="N1" s="39" t="s">
        <v>33</v>
      </c>
      <c r="O1" s="52">
        <v>46023</v>
      </c>
      <c r="P1" s="53">
        <v>46054</v>
      </c>
      <c r="Q1" s="53">
        <v>46082</v>
      </c>
      <c r="R1" s="53">
        <v>46113</v>
      </c>
      <c r="S1" s="53">
        <v>46143</v>
      </c>
      <c r="T1" s="53">
        <v>46174</v>
      </c>
    </row>
    <row r="2" spans="1:20" x14ac:dyDescent="0.25">
      <c r="A2" s="14" t="s">
        <v>34</v>
      </c>
      <c r="B2" s="15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N2" s="40"/>
      <c r="O2" s="15"/>
      <c r="P2" s="16"/>
      <c r="Q2" s="16"/>
      <c r="R2" s="16"/>
      <c r="S2" s="16"/>
      <c r="T2" s="16"/>
    </row>
    <row r="3" spans="1:20" x14ac:dyDescent="0.25">
      <c r="A3" s="18" t="s">
        <v>35</v>
      </c>
      <c r="B3" s="19">
        <v>0</v>
      </c>
      <c r="C3" s="20">
        <v>0</v>
      </c>
      <c r="D3" s="20">
        <v>0</v>
      </c>
      <c r="E3" s="20">
        <v>1</v>
      </c>
      <c r="F3" s="20">
        <v>1</v>
      </c>
      <c r="G3" s="20">
        <v>11</v>
      </c>
      <c r="H3" s="20">
        <v>23</v>
      </c>
      <c r="I3" s="20">
        <v>27</v>
      </c>
      <c r="J3" s="20">
        <v>12</v>
      </c>
      <c r="K3" s="20">
        <v>7</v>
      </c>
      <c r="L3" s="20">
        <v>5</v>
      </c>
      <c r="M3" s="21">
        <v>3</v>
      </c>
      <c r="N3" s="37">
        <f t="shared" ref="N3:N6" si="0">SUM(B3:M3)</f>
        <v>90</v>
      </c>
      <c r="O3" s="54">
        <v>3</v>
      </c>
      <c r="P3" s="55">
        <v>2</v>
      </c>
      <c r="Q3" s="55">
        <v>4</v>
      </c>
      <c r="R3" s="55">
        <v>8</v>
      </c>
      <c r="S3" s="55">
        <v>17</v>
      </c>
      <c r="T3" s="55">
        <v>21</v>
      </c>
    </row>
    <row r="4" spans="1:20" x14ac:dyDescent="0.25">
      <c r="A4" s="18" t="s">
        <v>36</v>
      </c>
      <c r="B4" s="19">
        <v>2</v>
      </c>
      <c r="C4" s="20">
        <v>4</v>
      </c>
      <c r="D4" s="20">
        <v>4</v>
      </c>
      <c r="E4" s="20">
        <v>6</v>
      </c>
      <c r="F4" s="20">
        <v>11</v>
      </c>
      <c r="G4" s="20">
        <v>23</v>
      </c>
      <c r="H4" s="20">
        <v>21</v>
      </c>
      <c r="I4" s="20">
        <v>25</v>
      </c>
      <c r="J4" s="20">
        <v>0</v>
      </c>
      <c r="K4" s="20">
        <v>2</v>
      </c>
      <c r="L4" s="20">
        <v>3</v>
      </c>
      <c r="M4" s="21">
        <v>4</v>
      </c>
      <c r="N4" s="37">
        <f t="shared" si="0"/>
        <v>105</v>
      </c>
      <c r="O4" s="54">
        <v>2.4</v>
      </c>
      <c r="P4" s="55">
        <v>4.8</v>
      </c>
      <c r="Q4" s="55">
        <v>4.8</v>
      </c>
      <c r="R4" s="55">
        <v>7.1999999999999993</v>
      </c>
      <c r="S4" s="55">
        <v>13.2</v>
      </c>
      <c r="T4" s="55">
        <v>27.599999999999998</v>
      </c>
    </row>
    <row r="5" spans="1:20" x14ac:dyDescent="0.25">
      <c r="A5" s="18" t="s">
        <v>37</v>
      </c>
      <c r="B5" s="19">
        <v>0</v>
      </c>
      <c r="C5" s="20">
        <v>0</v>
      </c>
      <c r="D5" s="20">
        <v>0</v>
      </c>
      <c r="E5" s="20">
        <v>0</v>
      </c>
      <c r="F5" s="20">
        <v>0</v>
      </c>
      <c r="G5" s="20">
        <v>4</v>
      </c>
      <c r="H5" s="20">
        <v>5</v>
      </c>
      <c r="I5" s="20">
        <v>6</v>
      </c>
      <c r="J5" s="20">
        <v>0</v>
      </c>
      <c r="K5" s="20">
        <v>0</v>
      </c>
      <c r="L5" s="20">
        <v>0</v>
      </c>
      <c r="M5" s="21">
        <v>0</v>
      </c>
      <c r="N5" s="37">
        <f t="shared" si="0"/>
        <v>15</v>
      </c>
      <c r="O5" s="54">
        <v>0</v>
      </c>
      <c r="P5" s="55">
        <v>0</v>
      </c>
      <c r="Q5" s="55">
        <v>0</v>
      </c>
      <c r="R5" s="55">
        <v>4</v>
      </c>
      <c r="S5" s="55">
        <v>5</v>
      </c>
      <c r="T5" s="55">
        <v>6</v>
      </c>
    </row>
    <row r="6" spans="1:20" ht="15.75" thickBot="1" x14ac:dyDescent="0.3">
      <c r="A6" s="22" t="s">
        <v>38</v>
      </c>
      <c r="B6" s="23">
        <v>1</v>
      </c>
      <c r="C6" s="24">
        <v>2</v>
      </c>
      <c r="D6" s="24">
        <v>2</v>
      </c>
      <c r="E6" s="24">
        <v>3</v>
      </c>
      <c r="F6" s="24">
        <v>2</v>
      </c>
      <c r="G6" s="24">
        <v>1</v>
      </c>
      <c r="H6" s="24">
        <v>1</v>
      </c>
      <c r="I6" s="24">
        <v>1</v>
      </c>
      <c r="J6" s="24">
        <v>2</v>
      </c>
      <c r="K6" s="24">
        <v>3</v>
      </c>
      <c r="L6" s="24">
        <v>3</v>
      </c>
      <c r="M6" s="25">
        <v>4</v>
      </c>
      <c r="N6" s="37">
        <f t="shared" si="0"/>
        <v>25</v>
      </c>
      <c r="O6" s="56">
        <v>1</v>
      </c>
      <c r="P6" s="57">
        <v>3</v>
      </c>
      <c r="Q6" s="57">
        <v>3</v>
      </c>
      <c r="R6" s="57">
        <v>4</v>
      </c>
      <c r="S6" s="57">
        <v>3</v>
      </c>
      <c r="T6" s="57">
        <v>2</v>
      </c>
    </row>
    <row r="7" spans="1:20" ht="15.75" thickBot="1" x14ac:dyDescent="0.3">
      <c r="A7" s="18"/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1"/>
      <c r="N7" s="26"/>
      <c r="O7" s="19"/>
      <c r="P7" s="20"/>
      <c r="Q7" s="20"/>
      <c r="R7" s="20"/>
      <c r="S7" s="20"/>
      <c r="T7" s="20"/>
    </row>
    <row r="8" spans="1:20" x14ac:dyDescent="0.25">
      <c r="A8" s="27" t="s">
        <v>39</v>
      </c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30"/>
      <c r="N8" s="41"/>
      <c r="O8" s="28"/>
      <c r="P8" s="29"/>
      <c r="Q8" s="29"/>
      <c r="R8" s="29"/>
      <c r="S8" s="29"/>
      <c r="T8" s="29"/>
    </row>
    <row r="9" spans="1:20" x14ac:dyDescent="0.25">
      <c r="A9" s="18" t="s">
        <v>40</v>
      </c>
      <c r="B9" s="19">
        <v>6</v>
      </c>
      <c r="C9" s="20">
        <v>6</v>
      </c>
      <c r="D9" s="20">
        <v>7</v>
      </c>
      <c r="E9" s="20">
        <v>8</v>
      </c>
      <c r="F9" s="20">
        <v>8</v>
      </c>
      <c r="G9" s="20">
        <v>9</v>
      </c>
      <c r="H9" s="20">
        <v>10</v>
      </c>
      <c r="I9" s="20">
        <v>11</v>
      </c>
      <c r="J9" s="20">
        <v>13</v>
      </c>
      <c r="K9" s="20">
        <v>14</v>
      </c>
      <c r="L9" s="20">
        <v>12</v>
      </c>
      <c r="M9" s="21">
        <v>16</v>
      </c>
      <c r="N9" s="37">
        <f t="shared" ref="N9:N12" si="1">SUM(B9:M9)</f>
        <v>120</v>
      </c>
      <c r="O9" s="54">
        <v>9.6000000000000014</v>
      </c>
      <c r="P9" s="55">
        <v>9.6000000000000014</v>
      </c>
      <c r="Q9" s="55">
        <v>13</v>
      </c>
      <c r="R9" s="55">
        <v>17</v>
      </c>
      <c r="S9" s="55">
        <v>19</v>
      </c>
      <c r="T9" s="55">
        <v>21</v>
      </c>
    </row>
    <row r="10" spans="1:20" x14ac:dyDescent="0.25">
      <c r="A10" s="18" t="s">
        <v>41</v>
      </c>
      <c r="B10" s="19">
        <v>0</v>
      </c>
      <c r="C10" s="20">
        <v>0</v>
      </c>
      <c r="D10" s="20">
        <v>0</v>
      </c>
      <c r="E10" s="20">
        <v>1</v>
      </c>
      <c r="F10" s="20">
        <v>1</v>
      </c>
      <c r="G10" s="20">
        <v>1</v>
      </c>
      <c r="H10" s="20">
        <v>2</v>
      </c>
      <c r="I10" s="20">
        <v>1</v>
      </c>
      <c r="J10" s="20">
        <v>1</v>
      </c>
      <c r="K10" s="20">
        <v>2</v>
      </c>
      <c r="L10" s="20">
        <v>1</v>
      </c>
      <c r="M10" s="21">
        <v>0</v>
      </c>
      <c r="N10" s="37">
        <f t="shared" si="1"/>
        <v>10</v>
      </c>
      <c r="O10" s="54">
        <v>0</v>
      </c>
      <c r="P10" s="55">
        <v>0</v>
      </c>
      <c r="Q10" s="55">
        <v>0</v>
      </c>
      <c r="R10" s="55">
        <v>2.7</v>
      </c>
      <c r="S10" s="55">
        <v>2.7</v>
      </c>
      <c r="T10" s="55">
        <v>2.7</v>
      </c>
    </row>
    <row r="11" spans="1:20" x14ac:dyDescent="0.25">
      <c r="A11" s="18" t="s">
        <v>42</v>
      </c>
      <c r="B11" s="19">
        <v>0</v>
      </c>
      <c r="C11" s="20">
        <v>0</v>
      </c>
      <c r="D11" s="20">
        <v>0</v>
      </c>
      <c r="E11" s="20">
        <v>0</v>
      </c>
      <c r="F11" s="20">
        <v>2</v>
      </c>
      <c r="G11" s="20">
        <v>4</v>
      </c>
      <c r="H11" s="20">
        <v>2</v>
      </c>
      <c r="I11" s="20">
        <v>2</v>
      </c>
      <c r="J11" s="20">
        <v>4</v>
      </c>
      <c r="K11" s="20">
        <v>2</v>
      </c>
      <c r="L11" s="20">
        <v>2</v>
      </c>
      <c r="M11" s="21">
        <v>2</v>
      </c>
      <c r="N11" s="37">
        <f t="shared" si="1"/>
        <v>20</v>
      </c>
      <c r="O11" s="54">
        <v>2</v>
      </c>
      <c r="P11" s="55">
        <v>4</v>
      </c>
      <c r="Q11" s="55">
        <v>8</v>
      </c>
      <c r="R11" s="55">
        <v>10</v>
      </c>
      <c r="S11" s="55">
        <v>8</v>
      </c>
      <c r="T11" s="55">
        <v>16</v>
      </c>
    </row>
    <row r="12" spans="1:20" x14ac:dyDescent="0.25">
      <c r="A12" s="18" t="s">
        <v>43</v>
      </c>
      <c r="B12" s="19">
        <v>0</v>
      </c>
      <c r="C12" s="20">
        <v>0</v>
      </c>
      <c r="D12" s="20">
        <v>0</v>
      </c>
      <c r="E12" s="20">
        <v>0</v>
      </c>
      <c r="F12" s="20">
        <v>0</v>
      </c>
      <c r="G12" s="20">
        <v>3</v>
      </c>
      <c r="H12" s="20">
        <v>3</v>
      </c>
      <c r="I12" s="20">
        <v>2</v>
      </c>
      <c r="J12" s="20">
        <v>1</v>
      </c>
      <c r="K12" s="20">
        <v>1</v>
      </c>
      <c r="L12" s="20">
        <v>0</v>
      </c>
      <c r="M12" s="21">
        <v>0</v>
      </c>
      <c r="N12" s="37">
        <f t="shared" si="1"/>
        <v>10</v>
      </c>
      <c r="O12" s="54">
        <v>2</v>
      </c>
      <c r="P12" s="55">
        <v>4</v>
      </c>
      <c r="Q12" s="55">
        <v>4</v>
      </c>
      <c r="R12" s="55">
        <v>5</v>
      </c>
      <c r="S12" s="55">
        <v>6</v>
      </c>
      <c r="T12" s="55">
        <v>6</v>
      </c>
    </row>
    <row r="13" spans="1:20" x14ac:dyDescent="0.25">
      <c r="A13" s="18" t="s">
        <v>44</v>
      </c>
      <c r="B13" s="19">
        <v>55</v>
      </c>
      <c r="C13" s="20">
        <v>57</v>
      </c>
      <c r="D13" s="20">
        <v>62</v>
      </c>
      <c r="E13" s="20">
        <v>68</v>
      </c>
      <c r="F13" s="20">
        <v>75</v>
      </c>
      <c r="G13" s="20">
        <v>78</v>
      </c>
      <c r="H13" s="20">
        <v>81</v>
      </c>
      <c r="I13" s="20">
        <v>84</v>
      </c>
      <c r="J13" s="20">
        <v>80</v>
      </c>
      <c r="K13" s="20">
        <v>80</v>
      </c>
      <c r="L13" s="20">
        <v>89</v>
      </c>
      <c r="M13" s="21">
        <v>91</v>
      </c>
      <c r="N13" s="37">
        <f>SUM(B13:M13)</f>
        <v>900</v>
      </c>
      <c r="O13" s="54">
        <v>70</v>
      </c>
      <c r="P13" s="55">
        <v>73</v>
      </c>
      <c r="Q13" s="55">
        <v>78</v>
      </c>
      <c r="R13" s="55">
        <v>75</v>
      </c>
      <c r="S13" s="55">
        <v>77</v>
      </c>
      <c r="T13" s="55">
        <v>82</v>
      </c>
    </row>
    <row r="14" spans="1:20" x14ac:dyDescent="0.25">
      <c r="A14" s="18" t="s">
        <v>45</v>
      </c>
      <c r="B14" s="19">
        <v>45</v>
      </c>
      <c r="C14" s="20">
        <v>61</v>
      </c>
      <c r="D14" s="20">
        <v>67</v>
      </c>
      <c r="E14" s="20">
        <v>54</v>
      </c>
      <c r="F14" s="20">
        <v>67</v>
      </c>
      <c r="G14" s="20">
        <v>73</v>
      </c>
      <c r="H14" s="20">
        <v>52</v>
      </c>
      <c r="I14" s="20">
        <v>68</v>
      </c>
      <c r="J14" s="20">
        <v>75</v>
      </c>
      <c r="K14" s="20">
        <v>81</v>
      </c>
      <c r="L14" s="20">
        <v>85</v>
      </c>
      <c r="M14" s="21">
        <v>92</v>
      </c>
      <c r="N14" s="37">
        <f t="shared" ref="N14:N17" si="2">SUM(B14:M14)</f>
        <v>820</v>
      </c>
      <c r="O14" s="54">
        <v>54</v>
      </c>
      <c r="P14" s="55">
        <v>73.2</v>
      </c>
      <c r="Q14" s="55">
        <v>80.399999999999991</v>
      </c>
      <c r="R14" s="55">
        <v>64.8</v>
      </c>
      <c r="S14" s="55">
        <v>80.399999999999991</v>
      </c>
      <c r="T14" s="55">
        <v>87.6</v>
      </c>
    </row>
    <row r="15" spans="1:20" x14ac:dyDescent="0.25">
      <c r="A15" s="18" t="s">
        <v>46</v>
      </c>
      <c r="B15" s="19">
        <v>3</v>
      </c>
      <c r="C15" s="20">
        <v>5</v>
      </c>
      <c r="D15" s="20">
        <v>5</v>
      </c>
      <c r="E15" s="20">
        <v>7</v>
      </c>
      <c r="F15" s="20">
        <v>11</v>
      </c>
      <c r="G15" s="20">
        <v>11</v>
      </c>
      <c r="H15" s="20">
        <v>9</v>
      </c>
      <c r="I15" s="20">
        <v>11</v>
      </c>
      <c r="J15" s="20">
        <v>9</v>
      </c>
      <c r="K15" s="20">
        <v>11</v>
      </c>
      <c r="L15" s="20">
        <v>12</v>
      </c>
      <c r="M15" s="21">
        <v>11</v>
      </c>
      <c r="N15" s="37">
        <f t="shared" si="2"/>
        <v>105</v>
      </c>
      <c r="O15" s="54">
        <v>5.4</v>
      </c>
      <c r="P15" s="55">
        <v>9</v>
      </c>
      <c r="Q15" s="55">
        <v>9</v>
      </c>
      <c r="R15" s="55">
        <v>12.6</v>
      </c>
      <c r="S15" s="55">
        <v>19.8</v>
      </c>
      <c r="T15" s="55">
        <v>19.8</v>
      </c>
    </row>
    <row r="16" spans="1:20" x14ac:dyDescent="0.25">
      <c r="A16" s="18" t="s">
        <v>47</v>
      </c>
      <c r="B16" s="19">
        <v>0</v>
      </c>
      <c r="C16" s="20">
        <v>0</v>
      </c>
      <c r="D16" s="20">
        <v>0</v>
      </c>
      <c r="E16" s="20">
        <v>3</v>
      </c>
      <c r="F16" s="20">
        <v>5</v>
      </c>
      <c r="G16" s="20">
        <v>6</v>
      </c>
      <c r="H16" s="20">
        <v>7</v>
      </c>
      <c r="I16" s="20">
        <v>4</v>
      </c>
      <c r="J16" s="20">
        <v>0</v>
      </c>
      <c r="K16" s="20">
        <v>0</v>
      </c>
      <c r="L16" s="20">
        <v>0</v>
      </c>
      <c r="M16" s="21">
        <v>0</v>
      </c>
      <c r="N16" s="37">
        <f t="shared" si="2"/>
        <v>25</v>
      </c>
      <c r="O16" s="19">
        <v>0</v>
      </c>
      <c r="P16" s="20">
        <v>0</v>
      </c>
      <c r="Q16" s="20">
        <v>0</v>
      </c>
      <c r="R16" s="20">
        <v>24</v>
      </c>
      <c r="S16" s="20">
        <v>40</v>
      </c>
      <c r="T16" s="20">
        <v>48</v>
      </c>
    </row>
    <row r="17" spans="1:20" ht="15.75" thickBot="1" x14ac:dyDescent="0.3">
      <c r="A17" s="22" t="s">
        <v>48</v>
      </c>
      <c r="B17" s="23">
        <v>0</v>
      </c>
      <c r="C17" s="24">
        <v>0</v>
      </c>
      <c r="D17" s="24">
        <v>0</v>
      </c>
      <c r="E17" s="24">
        <v>2</v>
      </c>
      <c r="F17" s="24">
        <v>4</v>
      </c>
      <c r="G17" s="24">
        <v>7</v>
      </c>
      <c r="H17" s="24">
        <v>7</v>
      </c>
      <c r="I17" s="24">
        <v>5</v>
      </c>
      <c r="J17" s="24">
        <v>0</v>
      </c>
      <c r="K17" s="24">
        <v>0</v>
      </c>
      <c r="L17" s="24">
        <v>0</v>
      </c>
      <c r="M17" s="25">
        <v>0</v>
      </c>
      <c r="N17" s="37">
        <f t="shared" si="2"/>
        <v>25</v>
      </c>
      <c r="O17" s="23">
        <v>0</v>
      </c>
      <c r="P17" s="24">
        <v>0</v>
      </c>
      <c r="Q17" s="24">
        <v>0</v>
      </c>
      <c r="R17" s="24">
        <v>12</v>
      </c>
      <c r="S17" s="24">
        <v>24</v>
      </c>
      <c r="T17" s="24">
        <v>42</v>
      </c>
    </row>
    <row r="18" spans="1:20" ht="15.75" thickBot="1" x14ac:dyDescent="0.3">
      <c r="A18" s="31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3"/>
      <c r="N18" s="26"/>
      <c r="O18" s="20"/>
      <c r="P18" s="20"/>
      <c r="Q18" s="20"/>
      <c r="R18" s="20"/>
      <c r="S18" s="20"/>
      <c r="T18" s="20"/>
    </row>
    <row r="19" spans="1:20" x14ac:dyDescent="0.25">
      <c r="A19" s="27" t="s">
        <v>49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5"/>
      <c r="N19" s="36"/>
      <c r="O19" s="49"/>
      <c r="P19" s="34"/>
      <c r="Q19" s="34"/>
      <c r="R19" s="34"/>
      <c r="S19" s="34"/>
      <c r="T19" s="34"/>
    </row>
    <row r="20" spans="1:20" x14ac:dyDescent="0.25">
      <c r="A20" s="18" t="s">
        <v>50</v>
      </c>
      <c r="B20" s="20">
        <v>3</v>
      </c>
      <c r="C20" s="20">
        <v>6</v>
      </c>
      <c r="D20" s="20">
        <v>6</v>
      </c>
      <c r="E20" s="20">
        <v>8</v>
      </c>
      <c r="F20" s="20">
        <v>8</v>
      </c>
      <c r="G20" s="20">
        <v>7</v>
      </c>
      <c r="H20" s="20">
        <v>8</v>
      </c>
      <c r="I20" s="20">
        <v>9</v>
      </c>
      <c r="J20" s="20">
        <v>10</v>
      </c>
      <c r="K20" s="20">
        <v>13</v>
      </c>
      <c r="L20" s="20">
        <v>15</v>
      </c>
      <c r="M20" s="21">
        <v>7</v>
      </c>
      <c r="N20" s="37">
        <f t="shared" ref="N20:N23" si="3">SUM(B20:M20)</f>
        <v>100</v>
      </c>
      <c r="O20" s="54">
        <v>4.1999999999999993</v>
      </c>
      <c r="P20" s="55">
        <v>8.3999999999999986</v>
      </c>
      <c r="Q20" s="55">
        <v>8.3999999999999986</v>
      </c>
      <c r="R20" s="55">
        <v>11.2</v>
      </c>
      <c r="S20" s="55">
        <v>11.2</v>
      </c>
      <c r="T20" s="55">
        <v>9.7999999999999989</v>
      </c>
    </row>
    <row r="21" spans="1:20" x14ac:dyDescent="0.25">
      <c r="A21" s="18" t="s">
        <v>51</v>
      </c>
      <c r="B21" s="20">
        <v>3</v>
      </c>
      <c r="C21" s="20">
        <v>1</v>
      </c>
      <c r="D21" s="20">
        <v>2</v>
      </c>
      <c r="E21" s="20">
        <v>3</v>
      </c>
      <c r="F21" s="20">
        <v>2</v>
      </c>
      <c r="G21" s="20">
        <v>1</v>
      </c>
      <c r="H21" s="20">
        <v>0</v>
      </c>
      <c r="I21" s="20">
        <v>2</v>
      </c>
      <c r="J21" s="20">
        <v>1</v>
      </c>
      <c r="K21" s="20">
        <v>3</v>
      </c>
      <c r="L21" s="20">
        <v>4</v>
      </c>
      <c r="M21" s="21">
        <v>3</v>
      </c>
      <c r="N21" s="37">
        <f t="shared" si="3"/>
        <v>25</v>
      </c>
      <c r="O21" s="54">
        <v>5.4</v>
      </c>
      <c r="P21" s="55">
        <v>1.8</v>
      </c>
      <c r="Q21" s="55">
        <v>3.6</v>
      </c>
      <c r="R21" s="55">
        <v>5.4</v>
      </c>
      <c r="S21" s="55">
        <v>3.6</v>
      </c>
      <c r="T21" s="55">
        <v>1.8</v>
      </c>
    </row>
    <row r="22" spans="1:20" x14ac:dyDescent="0.25">
      <c r="A22" s="18" t="s">
        <v>52</v>
      </c>
      <c r="B22" s="20">
        <v>2</v>
      </c>
      <c r="C22" s="20">
        <v>3</v>
      </c>
      <c r="D22" s="20">
        <v>2</v>
      </c>
      <c r="E22" s="20">
        <v>1</v>
      </c>
      <c r="F22" s="20">
        <v>2</v>
      </c>
      <c r="G22" s="20">
        <v>1</v>
      </c>
      <c r="H22" s="20">
        <v>0</v>
      </c>
      <c r="I22" s="20">
        <v>1</v>
      </c>
      <c r="J22" s="20">
        <v>0</v>
      </c>
      <c r="K22" s="20">
        <v>1</v>
      </c>
      <c r="L22" s="20">
        <v>2</v>
      </c>
      <c r="M22" s="21">
        <v>5</v>
      </c>
      <c r="N22" s="37">
        <f t="shared" si="3"/>
        <v>20</v>
      </c>
      <c r="O22" s="54">
        <v>3.4</v>
      </c>
      <c r="P22" s="55">
        <v>5.0999999999999996</v>
      </c>
      <c r="Q22" s="55">
        <v>3.4</v>
      </c>
      <c r="R22" s="55">
        <v>1.7</v>
      </c>
      <c r="S22" s="55">
        <v>3.4</v>
      </c>
      <c r="T22" s="55">
        <v>1.7</v>
      </c>
    </row>
    <row r="23" spans="1:20" ht="15.75" thickBot="1" x14ac:dyDescent="0.3">
      <c r="A23" s="22" t="s">
        <v>53</v>
      </c>
      <c r="B23" s="24">
        <v>52</v>
      </c>
      <c r="C23" s="24">
        <v>59</v>
      </c>
      <c r="D23" s="24">
        <v>71</v>
      </c>
      <c r="E23" s="24">
        <v>68</v>
      </c>
      <c r="F23" s="24">
        <v>72</v>
      </c>
      <c r="G23" s="24">
        <v>71</v>
      </c>
      <c r="H23" s="24">
        <v>67</v>
      </c>
      <c r="I23" s="24">
        <v>68</v>
      </c>
      <c r="J23" s="24">
        <v>70</v>
      </c>
      <c r="K23" s="24">
        <v>72</v>
      </c>
      <c r="L23" s="24">
        <v>60</v>
      </c>
      <c r="M23" s="25">
        <v>60</v>
      </c>
      <c r="N23" s="37">
        <f t="shared" si="3"/>
        <v>790</v>
      </c>
      <c r="O23" s="56">
        <v>78</v>
      </c>
      <c r="P23" s="57">
        <v>88.5</v>
      </c>
      <c r="Q23" s="57">
        <v>106.5</v>
      </c>
      <c r="R23" s="57">
        <v>102</v>
      </c>
      <c r="S23" s="57">
        <v>108</v>
      </c>
      <c r="T23" s="57">
        <v>106.5</v>
      </c>
    </row>
    <row r="24" spans="1:20" ht="15.75" thickBot="1" x14ac:dyDescent="0.3">
      <c r="A24" s="31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3"/>
      <c r="N24" s="26"/>
      <c r="O24" s="24"/>
      <c r="P24" s="24"/>
      <c r="Q24" s="24"/>
      <c r="R24" s="24"/>
      <c r="S24" s="24"/>
      <c r="T24" s="24"/>
    </row>
    <row r="25" spans="1:20" x14ac:dyDescent="0.25">
      <c r="A25" s="27" t="s">
        <v>54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5"/>
      <c r="N25" s="36"/>
      <c r="O25" s="49"/>
      <c r="P25" s="34"/>
      <c r="Q25" s="34"/>
      <c r="R25" s="34"/>
      <c r="S25" s="34"/>
      <c r="T25" s="34"/>
    </row>
    <row r="26" spans="1:20" x14ac:dyDescent="0.25">
      <c r="A26" s="18" t="s">
        <v>55</v>
      </c>
      <c r="B26" s="20">
        <v>20</v>
      </c>
      <c r="C26" s="20">
        <v>32</v>
      </c>
      <c r="D26" s="20">
        <v>48</v>
      </c>
      <c r="E26" s="20">
        <v>57</v>
      </c>
      <c r="F26" s="20">
        <v>65</v>
      </c>
      <c r="G26" s="20">
        <v>76</v>
      </c>
      <c r="H26" s="20">
        <v>87</v>
      </c>
      <c r="I26" s="20">
        <v>91</v>
      </c>
      <c r="J26" s="20">
        <v>82</v>
      </c>
      <c r="K26" s="20">
        <v>94</v>
      </c>
      <c r="L26" s="20">
        <v>95</v>
      </c>
      <c r="M26" s="21">
        <v>103</v>
      </c>
      <c r="N26" s="37">
        <f t="shared" ref="N26:N29" si="4">SUM(B26:M26)</f>
        <v>850</v>
      </c>
      <c r="O26" s="54">
        <v>42</v>
      </c>
      <c r="P26" s="55">
        <v>55</v>
      </c>
      <c r="Q26" s="55">
        <v>63</v>
      </c>
      <c r="R26" s="55">
        <v>69</v>
      </c>
      <c r="S26" s="55">
        <v>75</v>
      </c>
      <c r="T26" s="55">
        <v>85</v>
      </c>
    </row>
    <row r="27" spans="1:20" x14ac:dyDescent="0.25">
      <c r="A27" s="18" t="s">
        <v>56</v>
      </c>
      <c r="B27" s="20">
        <v>0</v>
      </c>
      <c r="C27" s="20">
        <v>0</v>
      </c>
      <c r="D27" s="20">
        <v>0</v>
      </c>
      <c r="E27" s="20">
        <v>0</v>
      </c>
      <c r="F27" s="20">
        <v>1</v>
      </c>
      <c r="G27" s="20">
        <v>2</v>
      </c>
      <c r="H27" s="20">
        <v>5</v>
      </c>
      <c r="I27" s="20">
        <v>7</v>
      </c>
      <c r="J27" s="20">
        <v>0</v>
      </c>
      <c r="K27" s="20">
        <v>0</v>
      </c>
      <c r="L27" s="20">
        <v>0</v>
      </c>
      <c r="M27" s="21">
        <v>5</v>
      </c>
      <c r="N27" s="37">
        <f t="shared" si="4"/>
        <v>20</v>
      </c>
      <c r="O27" s="54">
        <v>0</v>
      </c>
      <c r="P27" s="55">
        <v>0</v>
      </c>
      <c r="Q27" s="55">
        <v>0</v>
      </c>
      <c r="R27" s="55">
        <v>0</v>
      </c>
      <c r="S27" s="55">
        <v>6.7</v>
      </c>
      <c r="T27" s="55">
        <v>13.4</v>
      </c>
    </row>
    <row r="28" spans="1:20" x14ac:dyDescent="0.25">
      <c r="A28" s="18" t="s">
        <v>57</v>
      </c>
      <c r="B28" s="20">
        <v>0</v>
      </c>
      <c r="C28" s="20">
        <v>4</v>
      </c>
      <c r="D28" s="20">
        <v>6</v>
      </c>
      <c r="E28" s="20">
        <v>0</v>
      </c>
      <c r="F28" s="20">
        <v>4</v>
      </c>
      <c r="G28" s="20">
        <v>8</v>
      </c>
      <c r="H28" s="20">
        <v>6</v>
      </c>
      <c r="I28" s="20">
        <v>8</v>
      </c>
      <c r="J28" s="20">
        <v>14</v>
      </c>
      <c r="K28" s="20">
        <v>17</v>
      </c>
      <c r="L28" s="20">
        <v>21</v>
      </c>
      <c r="M28" s="21">
        <v>28</v>
      </c>
      <c r="N28" s="37">
        <f t="shared" si="4"/>
        <v>116</v>
      </c>
      <c r="O28" s="54">
        <v>0</v>
      </c>
      <c r="P28" s="55">
        <v>7.2</v>
      </c>
      <c r="Q28" s="55">
        <v>10.8</v>
      </c>
      <c r="R28" s="55">
        <v>0</v>
      </c>
      <c r="S28" s="55">
        <v>7.2</v>
      </c>
      <c r="T28" s="55">
        <v>14.4</v>
      </c>
    </row>
    <row r="29" spans="1:20" ht="15.75" thickBot="1" x14ac:dyDescent="0.3">
      <c r="A29" s="22" t="s">
        <v>58</v>
      </c>
      <c r="B29" s="24">
        <v>0</v>
      </c>
      <c r="C29" s="24">
        <v>0</v>
      </c>
      <c r="D29" s="24">
        <v>0</v>
      </c>
      <c r="E29" s="24">
        <v>1</v>
      </c>
      <c r="F29" s="24">
        <v>1</v>
      </c>
      <c r="G29" s="24">
        <v>2</v>
      </c>
      <c r="H29" s="24">
        <v>2</v>
      </c>
      <c r="I29" s="24">
        <v>1</v>
      </c>
      <c r="J29" s="24">
        <v>4</v>
      </c>
      <c r="K29" s="24">
        <v>2</v>
      </c>
      <c r="L29" s="24">
        <v>3</v>
      </c>
      <c r="M29" s="25">
        <v>4</v>
      </c>
      <c r="N29" s="38">
        <f t="shared" si="4"/>
        <v>20</v>
      </c>
      <c r="O29" s="56">
        <v>0</v>
      </c>
      <c r="P29" s="57">
        <v>0</v>
      </c>
      <c r="Q29" s="57">
        <v>0</v>
      </c>
      <c r="R29" s="57">
        <v>1.4</v>
      </c>
      <c r="S29" s="57">
        <v>1.4</v>
      </c>
      <c r="T29" s="57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End-to-End Process Mapping</vt:lpstr>
      <vt:lpstr>Forwarder VSM</vt:lpstr>
      <vt:lpstr>BDM FACTORY</vt:lpstr>
      <vt:lpstr>Business Process Management</vt:lpstr>
      <vt:lpstr>PRODUCTS VALUE</vt:lpstr>
      <vt:lpstr>VENTES PAR ZONE</vt:lpstr>
      <vt:lpstr>VENTES MENSUELLES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Amandine Celerier</dc:creator>
  <cp:lastModifiedBy>CHEREL Ghislain</cp:lastModifiedBy>
  <dcterms:created xsi:type="dcterms:W3CDTF">2026-06-05T06:09:51Z</dcterms:created>
  <dcterms:modified xsi:type="dcterms:W3CDTF">2026-06-09T13:16:39Z</dcterms:modified>
</cp:coreProperties>
</file>